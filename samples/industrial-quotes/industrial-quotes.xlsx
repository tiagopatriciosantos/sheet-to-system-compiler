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629408e0b499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Clients" sheetId="1" ns1:id="Rc66b08629ec4489d"/>
    <ns0:sheet name="Products" sheetId="2" ns1:id="R20c486301cfa4493"/>
    <ns0:sheet name="Quotes" sheetId="3" ns1:id="R8802f8a222e74aa9"/>
    <ns0:sheet name="Approvals" sheetId="4" ns1:id="R936e8f96cd09448f"/>
    <ns0:sheet name="Config" sheetId="5" ns1:id="R5368687db3d14454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&quot;€&quot;#,##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E8F0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201" fontId="4" fillId="0" borderId="10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200" fontId="4" fillId="0" borderId="9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200" fontId="0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8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0dfbc7439426d" /><Relationship Type="http://schemas.openxmlformats.org/officeDocument/2006/relationships/theme" Target="/xl/theme/theme1.xml" Id="Rc712472f2afc45ea" /><Relationship Type="http://schemas.openxmlformats.org/officeDocument/2006/relationships/sharedStrings" Target="/xl/sharedStrings.xml" Id="Ra34a391e05084603" /><Relationship Type="http://schemas.openxmlformats.org/officeDocument/2006/relationships/worksheet" Target="/xl/worksheets/sheet1.xml" Id="Rc66b08629ec4489d" /><Relationship Type="http://schemas.openxmlformats.org/officeDocument/2006/relationships/worksheet" Target="/xl/worksheets/sheet2.xml" Id="R20c486301cfa4493" /><Relationship Type="http://schemas.openxmlformats.org/officeDocument/2006/relationships/worksheet" Target="/xl/worksheets/sheet3.xml" Id="R8802f8a222e74aa9" /><Relationship Type="http://schemas.openxmlformats.org/officeDocument/2006/relationships/worksheet" Target="/xl/worksheets/sheet4.xml" Id="R936e8f96cd09448f" /><Relationship Type="http://schemas.openxmlformats.org/officeDocument/2006/relationships/worksheet" Target="/xl/worksheets/sheet5.xml" Id="R5368687db3d14454" /></Relationships>
</file>

<file path=xl/tables/table1.xml><?xml version="1.0" encoding="utf-8"?>
<x:table xmlns:x="http://schemas.openxmlformats.org/spreadsheetml/2006/main" id="1" name="ClientsTable" displayName="ClientsTable" ref="A3:E8" headerRowCount="1" totalsRowCount="0" totalsRowShown="0">
  <x:tableColumns count="5">
    <x:tableColumn id="1" name="Client ID"/>
    <x:tableColumn id="2" name="Client name"/>
    <x:tableColumn id="3" name="Segment"/>
    <x:tableColumn id="4" name="Max discount"/>
    <x:tableColumn id="5" name="Payment ter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3:F8" headerRowCount="1" totalsRowCount="0" totalsRowShown="0">
  <x:tableColumns count="6">
    <x:tableColumn id="1" name="Product ID"/>
    <x:tableColumn id="2" name="SKU"/>
    <x:tableColumn id="3" name="Description"/>
    <x:tableColumn id="4" name="Category"/>
    <x:tableColumn id="5" name="Unit cost"/>
    <x:tableColumn id="6" name="Base 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QuotesTable" displayName="QuotesTable" ref="A3:K9" headerRowCount="1" totalsRowCount="0" totalsRowShown="0">
  <x:tableColumns count="11">
    <x:tableColumn id="1" name="Quote ID"/>
    <x:tableColumn id="2" name="Client ID"/>
    <x:tableColumn id="3" name="Product ID"/>
    <x:tableColumn id="4" name="Quantity"/>
    <x:tableColumn id="5" name="Discount"/>
    <x:tableColumn id="6" name="Unit price"/>
    <x:tableColumn id="7" name="Revenue"/>
    <x:tableColumn id="8" name="Cost"/>
    <x:tableColumn id="9" name="Gross margin"/>
    <x:tableColumn id="10" name="Approval status"/>
    <x:tableColumn id="11" name="Evidence / 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pprovalsTable" displayName="ApprovalsTable" ref="A3:E6" headerRowCount="1" totalsRowCount="0" totalsRowShown="0">
  <x:tableColumns count="5">
    <x:tableColumn id="1" name="Tier"/>
    <x:tableColumn id="2" name="Minimum margin"/>
    <x:tableColumn id="3" name="Required role"/>
    <x:tableColumn id="4" name="Decision"/>
    <x:tableColumn id="5" name="Boundary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34fe2ae1e94f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a2bbb4e41946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f5d465b3d646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f9e0913fd345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16" hidden="0" customWidth="1"/>
  </x:cols>
  <x:sheetData>
    <x:row r="1">
      <x:c r="A1" s="4" t="str">
        <x:v>Clients — customer policy register</x:v>
      </x:c>
      <x:c r="B1" s="4"/>
      <x:c r="C1" s="4"/>
      <x:c r="D1" s="4"/>
      <x:c r="E1" s="4"/>
    </x:row>
    <x:row r="2">
      <x:c r="A2" s="8" t="str">
        <x:v>Editable inputs. Maximum discount is a business rule used by the quoting workflow.</x:v>
      </x:c>
      <x:c r="B2" s="8"/>
      <x:c r="C2" s="8"/>
      <x:c r="D2" s="8"/>
      <x:c r="E2" s="8"/>
    </x:row>
    <x:row r="3" ht="30" customHeight="1">
      <x:c r="A3" s="14" t="str">
        <x:v>Client ID</x:v>
      </x:c>
      <x:c r="B3" s="14" t="str">
        <x:v>Client name</x:v>
      </x:c>
      <x:c r="C3" s="14" t="str">
        <x:v>Segment</x:v>
      </x:c>
      <x:c r="D3" s="14" t="str">
        <x:v>Max discount</x:v>
      </x:c>
      <x:c r="E3" s="14" t="str">
        <x:v>Payment terms</x:v>
      </x:c>
    </x:row>
    <x:row r="4">
      <x:c r="A4" s="25" t="str">
        <x:v>C001</x:v>
      </x:c>
      <x:c r="B4" s="26" t="str">
        <x:v>Northwind Fabrication</x:v>
      </x:c>
      <x:c r="C4" s="26" t="str">
        <x:v>Industrial</x:v>
      </x:c>
      <x:c r="D4" s="34" t="n">
        <x:v>0.1</x:v>
      </x:c>
      <x:c r="E4" s="27" t="str">
        <x:v>30 days</x:v>
      </x:c>
    </x:row>
    <x:row r="5">
      <x:c r="A5" s="28" t="str">
        <x:v>C002</x:v>
      </x:c>
      <x:c r="B5" s="29" t="str">
        <x:v>Alpine Components</x:v>
      </x:c>
      <x:c r="C5" s="29" t="str">
        <x:v>Industrial</x:v>
      </x:c>
      <x:c r="D5" s="35" t="n">
        <x:v>0.08</x:v>
      </x:c>
      <x:c r="E5" s="30" t="str">
        <x:v>45 days</x:v>
      </x:c>
    </x:row>
    <x:row r="6">
      <x:c r="A6" s="28" t="str">
        <x:v>C003</x:v>
      </x:c>
      <x:c r="B6" s="29" t="str">
        <x:v>Bluebird Retail</x:v>
      </x:c>
      <x:c r="C6" s="29" t="str">
        <x:v>Retail</x:v>
      </x:c>
      <x:c r="D6" s="35" t="n">
        <x:v>0.05</x:v>
      </x:c>
      <x:c r="E6" s="30" t="str">
        <x:v>30 days</x:v>
      </x:c>
    </x:row>
    <x:row r="7">
      <x:c r="A7" s="28" t="str">
        <x:v>C004</x:v>
      </x:c>
      <x:c r="B7" s="29" t="str">
        <x:v>Cedar Works</x:v>
      </x:c>
      <x:c r="C7" s="29" t="str">
        <x:v>Construction</x:v>
      </x:c>
      <x:c r="D7" s="35" t="n">
        <x:v>0.12</x:v>
      </x:c>
      <x:c r="E7" s="30" t="str">
        <x:v>60 days</x:v>
      </x:c>
    </x:row>
    <x:row r="8">
      <x:c r="A8" s="31" t="str">
        <x:v>C005</x:v>
      </x:c>
      <x:c r="B8" s="32" t="str">
        <x:v>Delta Marine</x:v>
      </x:c>
      <x:c r="C8" s="32" t="str">
        <x:v>Industrial</x:v>
      </x:c>
      <x:c r="D8" s="36" t="n">
        <x:v>0.07</x:v>
      </x:c>
      <x:c r="E8" s="33" t="str">
        <x:v>45 days</x:v>
      </x:c>
    </x:row>
  </x:sheetData>
  <x:mergeCells>
    <x:mergeCell ref="A1:E1"/>
    <x:mergeCell ref="A2:E2"/>
  </x:mergeCells>
  <x:dataValidations count="1">
    <x:dataValidation type="list" sqref="C4:C8">
      <x:formula1>"Industrial,Retail,Construction"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34fe2ae1e94f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Products — catalogue and margin inputs</x:v>
      </x:c>
      <x:c r="B1" s="4"/>
      <x:c r="C1" s="4"/>
      <x:c r="D1" s="4"/>
      <x:c r="E1" s="4"/>
      <x:c r="F1" s="4"/>
    </x:row>
    <x:row r="2">
      <x:c r="A2" s="8" t="str">
        <x:v>Unit cost and base price are the source inputs for quote calculations.</x:v>
      </x:c>
      <x:c r="B2" s="8"/>
      <x:c r="C2" s="8"/>
      <x:c r="D2" s="8"/>
      <x:c r="E2" s="8"/>
      <x:c r="F2" s="8"/>
    </x:row>
    <x:row r="3" ht="22" customHeight="1">
      <x:c r="A3" s="14" t="str">
        <x:v>Product ID</x:v>
      </x:c>
      <x:c r="B3" s="14" t="str">
        <x:v>SKU</x:v>
      </x:c>
      <x:c r="C3" s="14" t="str">
        <x:v>Description</x:v>
      </x:c>
      <x:c r="D3" s="14" t="str">
        <x:v>Category</x:v>
      </x:c>
      <x:c r="E3" s="14" t="str">
        <x:v>Unit cost</x:v>
      </x:c>
      <x:c r="F3" s="14" t="str">
        <x:v>Base price</x:v>
      </x:c>
    </x:row>
    <x:row r="4" ht="22" customHeight="1">
      <x:c r="A4" s="25" t="str">
        <x:v>PRD-1001</x:v>
      </x:c>
      <x:c r="B4" s="26" t="str">
        <x:v>FAB-01</x:v>
      </x:c>
      <x:c r="C4" s="26" t="str">
        <x:v>Steel mounting frame</x:v>
      </x:c>
      <x:c r="D4" s="26" t="str">
        <x:v>Fabrication</x:v>
      </x:c>
      <x:c r="E4" s="37" t="n">
        <x:v>50</x:v>
      </x:c>
      <x:c r="F4" s="38" t="n">
        <x:v>80</x:v>
      </x:c>
    </x:row>
    <x:row r="5" ht="22" customHeight="1">
      <x:c r="A5" s="28" t="str">
        <x:v>PRD-1002</x:v>
      </x:c>
      <x:c r="B5" s="29" t="str">
        <x:v>FAB-02</x:v>
      </x:c>
      <x:c r="C5" s="29" t="str">
        <x:v>Precision drive unit</x:v>
      </x:c>
      <x:c r="D5" s="29" t="str">
        <x:v>Fabrication</x:v>
      </x:c>
      <x:c r="E5" s="39" t="n">
        <x:v>120</x:v>
      </x:c>
      <x:c r="F5" s="40" t="n">
        <x:v>180</x:v>
      </x:c>
    </x:row>
    <x:row r="6" ht="22" customHeight="1">
      <x:c r="A6" s="28" t="str">
        <x:v>PRD-1003</x:v>
      </x:c>
      <x:c r="B6" s="29" t="str">
        <x:v>MAR-01</x:v>
      </x:c>
      <x:c r="C6" s="29" t="str">
        <x:v>Marine-grade enclosure</x:v>
      </x:c>
      <x:c r="D6" s="29" t="str">
        <x:v>Marine</x:v>
      </x:c>
      <x:c r="E6" s="39" t="n">
        <x:v>220</x:v>
      </x:c>
      <x:c r="F6" s="40" t="n">
        <x:v>310</x:v>
      </x:c>
    </x:row>
    <x:row r="7" ht="22" customHeight="1">
      <x:c r="A7" s="28" t="str">
        <x:v>PRD-1004</x:v>
      </x:c>
      <x:c r="B7" s="29" t="str">
        <x:v>STD-15</x:v>
      </x:c>
      <x:c r="C7" s="29" t="str">
        <x:v>Boundary test component</x:v>
      </x:c>
      <x:c r="D7" s="29" t="str">
        <x:v>Fabrication</x:v>
      </x:c>
      <x:c r="E7" s="39" t="n">
        <x:v>85</x:v>
      </x:c>
      <x:c r="F7" s="40" t="n">
        <x:v>100</x:v>
      </x:c>
    </x:row>
    <x:row r="8" ht="22" customHeight="1">
      <x:c r="A8" s="31" t="str">
        <x:v>PRD-1005</x:v>
      </x:c>
      <x:c r="B8" s="32" t="str">
        <x:v>STD-10</x:v>
      </x:c>
      <x:c r="C8" s="32" t="str">
        <x:v>Low-margin test component</x:v>
      </x:c>
      <x:c r="D8" s="32" t="str">
        <x:v>Fabrication</x:v>
      </x:c>
      <x:c r="E8" s="41" t="n">
        <x:v>90</x:v>
      </x:c>
      <x:c r="F8" s="42" t="n">
        <x:v>100</x:v>
      </x:c>
    </x:row>
  </x:sheetData>
  <x:mergeCells>
    <x:mergeCell ref="A1:F1"/>
    <x:mergeCell ref="A2:F2"/>
  </x:mergeCells>
  <x:dataValidations count="1">
    <x:dataValidation type="list" sqref="D4:D8">
      <x:formula1>"Fabrication,Marine"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a2bbb4e41946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  <x:col min="11" max="11" width="34" hidden="0" customWidth="1"/>
    <x:col min="13" max="13" width="22" hidden="0" customWidth="1"/>
    <x:col min="14" max="14" width="22" hidden="0" customWidth="1"/>
  </x:cols>
  <x:sheetData>
    <x:row r="1">
      <x:c r="A1" s="4" t="str">
        <x:v>Quotes — industrial quoting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8" t="str">
        <x:v>Formula-driven quote register. Approval status is calculated from Gross Margin and the hidden Config threshold.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3" customHeight="1">
      <x:c r="A3" s="14" t="str">
        <x:v>Quote ID</x:v>
      </x:c>
      <x:c r="B3" s="14" t="str">
        <x:v>Client ID</x:v>
      </x:c>
      <x:c r="C3" s="14" t="str">
        <x:v>Product ID</x:v>
      </x:c>
      <x:c r="D3" s="14" t="str">
        <x:v>Quantity</x:v>
      </x:c>
      <x:c r="E3" s="14" t="str">
        <x:v>Discount</x:v>
      </x:c>
      <x:c r="F3" s="14" t="str">
        <x:v>Unit price</x:v>
      </x:c>
      <x:c r="G3" s="14" t="str">
        <x:v>Revenue</x:v>
      </x:c>
      <x:c r="H3" s="14" t="str">
        <x:v>Cost</x:v>
      </x:c>
      <x:c r="I3" s="14" t="str">
        <x:v>Gross margin</x:v>
      </x:c>
      <x:c r="J3" s="14" t="str">
        <x:v>Approval status</x:v>
      </x:c>
      <x:c r="K3" s="14" t="str">
        <x:v>Evidence / reason</x:v>
      </x:c>
      <x:c r="M3" s="14" t="str">
        <x:v>Summary</x:v>
      </x:c>
      <x:c r="N3" s="14" t="str">
        <x:v>Value</x:v>
      </x:c>
    </x:row>
    <x:row r="4" ht="23" customHeight="1">
      <x:c r="A4" s="45" t="str">
        <x:v>Q-1001</x:v>
      </x:c>
      <x:c r="B4" s="46" t="str">
        <x:v>C001</x:v>
      </x:c>
      <x:c r="C4" s="46" t="str">
        <x:v>PRD-1001</x:v>
      </x:c>
      <x:c r="D4" s="46" t="n">
        <x:v>20</x:v>
      </x:c>
      <x:c r="E4" s="47" t="n">
        <x:v>0.03</x:v>
      </x:c>
      <x:c r="F4" s="48" t="n">
        <x:f>IFERROR(VLOOKUP(C4,'Products'!$A$4:$F$8,6,FALSE),0)</x:f>
        <x:v>80</x:v>
      </x:c>
      <x:c r="G4" s="48" t="n">
        <x:f>D4*F4*(1-E4)</x:f>
        <x:v>1552</x:v>
      </x:c>
      <x:c r="H4" s="48" t="n">
        <x:f>D4*IFERROR(VLOOKUP(C4,'Products'!$A$4:$F$8,5,FALSE),0)</x:f>
        <x:v>1000</x:v>
      </x:c>
      <x:c r="I4" s="47" t="n">
        <x:f>IF(G4=0,0,(G4-H4)/G4)</x:f>
        <x:v>0.3556701030927835</x:v>
      </x:c>
      <x:c r="J4" s="46" t="str">
        <x:f>IF(I4&lt;'Config'!$B$4,"NEEDS_APPROVAL","AUTO_APPROVED")</x:f>
        <x:v>AUTO_APPROVED</x:v>
      </x:c>
      <x:c r="K4" s="49" t="str">
        <x:f>IF(I4&lt;'Config'!$B$4,"Margin below configured threshold","Margin meets policy")</x:f>
        <x:v>Margin meets policy</x:v>
      </x:c>
      <x:c r="M4" s="60" t="str">
        <x:v>Total revenue</x:v>
      </x:c>
      <x:c r="N4" s="61" t="n">
        <x:f>SUM(G4:G9)</x:f>
        <x:v>5598.3</x:v>
      </x:c>
    </x:row>
    <x:row r="5" ht="23" customHeight="1">
      <x:c r="A5" s="50" t="str">
        <x:v>Q-1002</x:v>
      </x:c>
      <x:c r="B5" s="51" t="str">
        <x:v>C002</x:v>
      </x:c>
      <x:c r="C5" s="51" t="str">
        <x:v>PRD-1002</x:v>
      </x:c>
      <x:c r="D5" s="51" t="n">
        <x:v>5</x:v>
      </x:c>
      <x:c r="E5" s="52" t="n">
        <x:v>0.1</x:v>
      </x:c>
      <x:c r="F5" s="53" t="n">
        <x:f>IFERROR(VLOOKUP(C5,'Products'!$A$4:$F$8,6,FALSE),0)</x:f>
        <x:v>180</x:v>
      </x:c>
      <x:c r="G5" s="53" t="n">
        <x:f>D5*F5*(1-E5)</x:f>
        <x:v>810</x:v>
      </x:c>
      <x:c r="H5" s="53" t="n">
        <x:f>D5*IFERROR(VLOOKUP(C5,'Products'!$A$4:$F$8,5,FALSE),0)</x:f>
        <x:v>600</x:v>
      </x:c>
      <x:c r="I5" s="52" t="n">
        <x:f>IF(G5=0,0,(G5-H5)/G5)</x:f>
        <x:v>0.25925925925925924</x:v>
      </x:c>
      <x:c r="J5" s="51" t="str">
        <x:f>IF(I5&lt;'Config'!$B$4,"NEEDS_APPROVAL","AUTO_APPROVED")</x:f>
        <x:v>AUTO_APPROVED</x:v>
      </x:c>
      <x:c r="K5" s="54" t="str">
        <x:f>IF(I5&lt;'Config'!$B$4,"Margin below configured threshold","Margin meets policy")</x:f>
        <x:v>Margin meets policy</x:v>
      </x:c>
      <x:c r="M5" s="60" t="str">
        <x:v>Average margin</x:v>
      </x:c>
      <x:c r="N5" s="62" t="n">
        <x:f>SUM(I4:I9)/6</x:f>
        <x:v>0.23960473183828798</x:v>
      </x:c>
    </x:row>
    <x:row r="6" ht="23" customHeight="1">
      <x:c r="A6" s="50" t="str">
        <x:v>Q-1003</x:v>
      </x:c>
      <x:c r="B6" s="51" t="str">
        <x:v>C003</x:v>
      </x:c>
      <x:c r="C6" s="51" t="str">
        <x:v>PRD-1003</x:v>
      </x:c>
      <x:c r="D6" s="51" t="n">
        <x:v>3</x:v>
      </x:c>
      <x:c r="E6" s="52" t="n">
        <x:v>0.05</x:v>
      </x:c>
      <x:c r="F6" s="53" t="n">
        <x:f>IFERROR(VLOOKUP(C6,'Products'!$A$4:$F$8,6,FALSE),0)</x:f>
        <x:v>310</x:v>
      </x:c>
      <x:c r="G6" s="53" t="n">
        <x:f>D6*F6*(1-E6)</x:f>
        <x:v>883.5</x:v>
      </x:c>
      <x:c r="H6" s="53" t="n">
        <x:f>D6*IFERROR(VLOOKUP(C6,'Products'!$A$4:$F$8,5,FALSE),0)</x:f>
        <x:v>660</x:v>
      </x:c>
      <x:c r="I6" s="52" t="n">
        <x:f>IF(G6=0,0,(G6-H6)/G6)</x:f>
        <x:v>0.2529711375212224</x:v>
      </x:c>
      <x:c r="J6" s="51" t="str">
        <x:f>IF(I6&lt;'Config'!$B$4,"NEEDS_APPROVAL","AUTO_APPROVED")</x:f>
        <x:v>AUTO_APPROVED</x:v>
      </x:c>
      <x:c r="K6" s="54" t="str">
        <x:f>IF(I6&lt;'Config'!$B$4,"Margin below configured threshold","Margin meets policy")</x:f>
        <x:v>Margin meets policy</x:v>
      </x:c>
      <x:c r="M6" s="60" t="str">
        <x:v>Quotes needing approval</x:v>
      </x:c>
      <x:c r="N6" s="60" t="n">
        <x:f>COUNTIF(J4:J9,"NEEDS_APPROVAL")</x:f>
        <x:v>1</x:v>
      </x:c>
    </x:row>
    <x:row r="7" ht="23" customHeight="1">
      <x:c r="A7" s="50" t="str">
        <x:v>Q-1004</x:v>
      </x:c>
      <x:c r="B7" s="51" t="str">
        <x:v>C004</x:v>
      </x:c>
      <x:c r="C7" s="51" t="str">
        <x:v>PRD-1004</x:v>
      </x:c>
      <x:c r="D7" s="51" t="n">
        <x:v>10</x:v>
      </x:c>
      <x:c r="E7" s="52" t="n">
        <x:v>0</x:v>
      </x:c>
      <x:c r="F7" s="53" t="n">
        <x:f>IFERROR(VLOOKUP(C7,'Products'!$A$4:$F$8,6,FALSE),0)</x:f>
        <x:v>100</x:v>
      </x:c>
      <x:c r="G7" s="53" t="n">
        <x:f>D7*F7*(1-E7)</x:f>
        <x:v>1000</x:v>
      </x:c>
      <x:c r="H7" s="53" t="n">
        <x:f>D7*IFERROR(VLOOKUP(C7,'Products'!$A$4:$F$8,5,FALSE),0)</x:f>
        <x:v>850</x:v>
      </x:c>
      <x:c r="I7" s="52" t="n">
        <x:f>IF(G7=0,0,(G7-H7)/G7)</x:f>
        <x:v>0.15</x:v>
      </x:c>
      <x:c r="J7" s="51" t="str">
        <x:f>IF(I7&lt;'Config'!$B$4,"NEEDS_APPROVAL","AUTO_APPROVED")</x:f>
        <x:v>AUTO_APPROVED</x:v>
      </x:c>
      <x:c r="K7" s="54" t="str">
        <x:f>IF(I7&lt;'Config'!$B$4,"Margin below configured threshold","Margin meets policy")</x:f>
        <x:v>Margin meets policy</x:v>
      </x:c>
    </x:row>
    <x:row r="8" ht="23" customHeight="1">
      <x:c r="A8" s="50" t="str">
        <x:v>Q-1005</x:v>
      </x:c>
      <x:c r="B8" s="51" t="str">
        <x:v>C005</x:v>
      </x:c>
      <x:c r="C8" s="51" t="str">
        <x:v>PRD-1005</x:v>
      </x:c>
      <x:c r="D8" s="51" t="n">
        <x:v>10</x:v>
      </x:c>
      <x:c r="E8" s="52" t="n">
        <x:v>0</x:v>
      </x:c>
      <x:c r="F8" s="53" t="n">
        <x:f>IFERROR(VLOOKUP(C8,'Products'!$A$4:$F$8,6,FALSE),0)</x:f>
        <x:v>100</x:v>
      </x:c>
      <x:c r="G8" s="53" t="n">
        <x:f>D8*F8*(1-E8)</x:f>
        <x:v>1000</x:v>
      </x:c>
      <x:c r="H8" s="53" t="n">
        <x:f>D8*IFERROR(VLOOKUP(C8,'Products'!$A$4:$F$8,5,FALSE),0)</x:f>
        <x:v>900</x:v>
      </x:c>
      <x:c r="I8" s="52" t="n">
        <x:f>IF(G8=0,0,(G8-H8)/G8)</x:f>
        <x:v>0.1</x:v>
      </x:c>
      <x:c r="J8" s="51" t="str">
        <x:f>IF(I8&lt;'Config'!$B$4,"NEEDS_APPROVAL","AUTO_APPROVED")</x:f>
        <x:v>NEEDS_APPROVAL</x:v>
      </x:c>
      <x:c r="K8" s="54" t="str">
        <x:f>IF(I8&lt;'Config'!$B$4,"Margin below configured threshold","Margin meets policy")</x:f>
        <x:v>Margin below configured threshold</x:v>
      </x:c>
    </x:row>
    <x:row r="9" ht="23" customHeight="1">
      <x:c r="A9" s="55" t="str">
        <x:v>Q-1006</x:v>
      </x:c>
      <x:c r="B9" s="56" t="str">
        <x:v>C001</x:v>
      </x:c>
      <x:c r="C9" s="56" t="str">
        <x:v>PRD-1002</x:v>
      </x:c>
      <x:c r="D9" s="56" t="n">
        <x:v>2</x:v>
      </x:c>
      <x:c r="E9" s="57" t="n">
        <x:v>0.02</x:v>
      </x:c>
      <x:c r="F9" s="58" t="n">
        <x:f>IFERROR(VLOOKUP(C9,'Products'!$A$4:$F$8,6,FALSE),0)</x:f>
        <x:v>180</x:v>
      </x:c>
      <x:c r="G9" s="58" t="n">
        <x:f>D9*F9*(1-E9)</x:f>
        <x:v>352.8</x:v>
      </x:c>
      <x:c r="H9" s="58" t="n">
        <x:f>D9*IFERROR(VLOOKUP(C9,'Products'!$A$4:$F$8,5,FALSE),0)</x:f>
        <x:v>240</x:v>
      </x:c>
      <x:c r="I9" s="57" t="n">
        <x:f>IF(G9=0,0,(G9-H9)/G9)</x:f>
        <x:v>0.3197278911564626</x:v>
      </x:c>
      <x:c r="J9" s="56" t="str">
        <x:f>IF(I9&lt;'Config'!$B$4,"NEEDS_APPROVAL","AUTO_APPROVED")</x:f>
        <x:v>AUTO_APPROVED</x:v>
      </x:c>
      <x:c r="K9" s="59" t="str">
        <x:f>IF(I9&lt;'Config'!$B$4,"Margin below configured threshold","Margin meets policy")</x:f>
        <x:v>Margin meets policy</x:v>
      </x:c>
    </x:row>
  </x:sheetData>
  <x:mergeCells>
    <x:mergeCell ref="A1:K1"/>
    <x:mergeCell ref="A2:K2"/>
  </x:mergeCells>
  <x:conditionalFormatting sqref="I4:I9">
    <x:cfRule type="cellIs" dxfId="0" priority="1" operator="lessThan">
      <x:formula>'Config'!$B$4</x:formula>
    </x:cfRule>
    <x:cfRule type="cellIs" dxfId="1" priority="2" operator="greaterThanOrEqual">
      <x:formula>'Config'!$B$4</x:formula>
    </x:cfRule>
  </x:conditionalFormatting>
  <x:dataValidations count="3">
    <x:dataValidation type="list" sqref="B4:B9">
      <x:formula1>'Clients'!$A$4:$A$8</x:formula1>
    </x:dataValidation>
    <x:dataValidation type="list" sqref="C4:C9">
      <x:formula1>'Products'!$A$4:$A$8</x:formula1>
    </x:dataValidation>
    <x:dataValidation type="decimal" operator="between" sqref="E4:E9">
      <x:formula1>0</x:formula1>
      <x:formula2>0.2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5f5d465b3d646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38" hidden="0" customWidth="1"/>
  </x:cols>
  <x:sheetData>
    <x:row r="1">
      <x:c r="A1" s="4" t="str">
        <x:v>Approvals — policy matrix</x:v>
      </x:c>
      <x:c r="B1" s="4"/>
      <x:c r="C1" s="4"/>
      <x:c r="D1" s="4"/>
      <x:c r="E1" s="4"/>
    </x:row>
    <x:row r="2">
      <x:c r="A2" s="8" t="str">
        <x:v>The margin threshold is intentionally visible here and also stored in hidden Config for auditability.</x:v>
      </x:c>
      <x:c r="B2" s="8"/>
      <x:c r="C2" s="8"/>
      <x:c r="D2" s="8"/>
      <x:c r="E2" s="8"/>
    </x:row>
    <x:row r="3" ht="30" customHeight="1">
      <x:c r="A3" s="14" t="str">
        <x:v>Tier</x:v>
      </x:c>
      <x:c r="B3" s="14" t="str">
        <x:v>Minimum margin</x:v>
      </x:c>
      <x:c r="C3" s="14" t="str">
        <x:v>Required role</x:v>
      </x:c>
      <x:c r="D3" s="14" t="str">
        <x:v>Decision</x:v>
      </x:c>
      <x:c r="E3" s="14" t="str">
        <x:v>Boundary note</x:v>
      </x:c>
    </x:row>
    <x:row r="4">
      <x:c r="A4" s="25" t="str">
        <x:v>A</x:v>
      </x:c>
      <x:c r="B4" s="34" t="n">
        <x:v>0.3</x:v>
      </x:c>
      <x:c r="C4" s="26" t="str">
        <x:v>Sales manager</x:v>
      </x:c>
      <x:c r="D4" s="26" t="str">
        <x:v>AUTO_APPROVED</x:v>
      </x:c>
      <x:c r="E4" s="27" t="str">
        <x:v>At or above 30%</x:v>
      </x:c>
    </x:row>
    <x:row r="5">
      <x:c r="A5" s="28" t="str">
        <x:v>B</x:v>
      </x:c>
      <x:c r="B5" s="35" t="n">
        <x:v>0.15</x:v>
      </x:c>
      <x:c r="C5" s="29" t="str">
        <x:v>Commercial director</x:v>
      </x:c>
      <x:c r="D5" s="29" t="str">
        <x:v>REVIEW</x:v>
      </x:c>
      <x:c r="E5" s="30" t="str">
        <x:v>Exactly 15% is a deliberate test boundary</x:v>
      </x:c>
    </x:row>
    <x:row r="6">
      <x:c r="A6" s="31" t="str">
        <x:v>C</x:v>
      </x:c>
      <x:c r="B6" s="36" t="n">
        <x:v>0</x:v>
      </x:c>
      <x:c r="C6" s="32" t="str">
        <x:v>Finance</x:v>
      </x:c>
      <x:c r="D6" s="32" t="str">
        <x:v>NEEDS_APPROVAL</x:v>
      </x:c>
      <x:c r="E6" s="33" t="str">
        <x:v>Below the configured minimum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7f9e0913fd345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30" hidden="0" customWidth="1"/>
  </x:cols>
  <x:sheetData>
    <x:row r="1">
      <x:c r="A1" s="4" t="str">
        <x:v>Config — hidden business parameters</x:v>
      </x:c>
      <x:c r="B1" s="4"/>
      <x:c r="C1" s="4"/>
      <x:c r="D1" s="4"/>
    </x:row>
    <x:row r="2">
      <x:c r="A2" s="8" t="str">
        <x:v>Hidden by design: these parameters are evidence, not magic numbers in formulas.</x:v>
      </x:c>
      <x:c r="B2" s="8"/>
      <x:c r="C2" s="8"/>
      <x:c r="D2" s="8"/>
    </x:row>
    <x:row r="3" ht="30" customHeight="1">
      <x:c r="A3" s="14" t="str">
        <x:v>Parameter</x:v>
      </x:c>
      <x:c r="B3" s="14" t="str">
        <x:v>Value</x:v>
      </x:c>
      <x:c r="C3" s="14" t="str">
        <x:v>Business meaning</x:v>
      </x:c>
      <x:c r="D3" s="14" t="str">
        <x:v>Evidence status</x:v>
      </x:c>
    </x:row>
    <x:row r="4">
      <x:c r="A4" s="25" t="str">
        <x:v>MarginApprovalThreshold</x:v>
      </x:c>
      <x:c r="B4" s="34" t="n">
        <x:v>0.15</x:v>
      </x:c>
      <x:c r="C4" s="26" t="str">
        <x:v>Quotes below this margin need approval</x:v>
      </x:c>
      <x:c r="D4" s="27" t="str">
        <x:v>Observed in Quotes!J4:J9</x:v>
      </x:c>
    </x:row>
    <x:row r="5">
      <x:c r="A5" s="28" t="str">
        <x:v>DefaultMaxDiscount</x:v>
      </x:c>
      <x:c r="B5" s="35" t="n">
        <x:v>0.1</x:v>
      </x:c>
      <x:c r="C5" s="29" t="str">
        <x:v>Fallback when no client policy is found</x:v>
      </x:c>
      <x:c r="D5" s="30" t="str">
        <x:v>Observed in Clients</x:v>
      </x:c>
    </x:row>
    <x:row r="6">
      <x:c r="A6" s="28" t="str">
        <x:v>TaxRate</x:v>
      </x:c>
      <x:c r="B6" s="35" t="n">
        <x:v>0.23</x:v>
      </x:c>
      <x:c r="C6" s="29" t="str">
        <x:v>Reference-only tax assumption</x:v>
      </x:c>
      <x:c r="D6" s="30" t="str">
        <x:v>Not used in MVP calculations</x:v>
      </x:c>
    </x:row>
    <x:row r="7">
      <x:c r="A7" s="28" t="str">
        <x:v>Currency</x:v>
      </x:c>
      <x:c r="B7" s="29" t="str">
        <x:v>EUR</x:v>
      </x:c>
      <x:c r="C7" s="29" t="str">
        <x:v>Display currency</x:v>
      </x:c>
      <x:c r="D7" s="30" t="str">
        <x:v>Observed in workbook formatting</x:v>
      </x:c>
    </x:row>
    <x:row r="8">
      <x:c r="A8" s="28" t="str">
        <x:v>RoundingDecimals</x:v>
      </x:c>
      <x:c r="B8" s="29" t="n">
        <x:v>2</x:v>
      </x:c>
      <x:c r="C8" s="29" t="str">
        <x:v>Currency rounding precision</x:v>
      </x:c>
      <x:c r="D8" s="30" t="str">
        <x:v>Observed in quote output</x:v>
      </x:c>
    </x:row>
    <x:row r="9">
      <x:c r="A9" s="28" t="str">
        <x:v>UnsupportedFeature</x:v>
      </x:c>
      <x:c r="B9" s="44" t="str">
        <x:v>PowerQueryRefresh</x:v>
      </x:c>
      <x:c r="C9" s="29" t="str">
        <x:v>External refresh is intentionally outside the MVP</x:v>
      </x:c>
      <x:c r="D9" s="30" t="str">
        <x:v>Warning expected in X-Ray</x:v>
      </x:c>
    </x:row>
    <x:row r="10">
      <x:c r="A10" s="31" t="str">
        <x:v>ExternalSource</x:v>
      </x:c>
      <x:c r="B10" s="32" t="str">
        <x:v>Not connected</x:v>
      </x:c>
      <x:c r="C10" s="32" t="str">
        <x:v>No external workbook or network link is executed</x:v>
      </x:c>
      <x:c r="D10" s="33" t="str">
        <x:v>Safety guard</x:v>
      </x:c>
    </x:row>
  </x:sheetData>
  <x:mergeCells>
    <x:mergeCell ref="A1:D1"/>
    <x:mergeCell ref="A2:D2"/>
  </x:mergeCells>
  <x:pageMargins left="0.7" right="0.7" top="0.75" bottom="0.75" header="0.3" footer="0.3"/>
</x:worksheet>
</file>